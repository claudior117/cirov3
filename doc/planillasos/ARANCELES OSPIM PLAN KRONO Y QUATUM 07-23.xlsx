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36" windowHeight="3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<sst xmlns="http://schemas.openxmlformats.org/spreadsheetml/2006/main" count="125" uniqueCount="122">
  <si>
    <t>Valor de la</t>
  </si>
  <si>
    <t>prestación</t>
  </si>
  <si>
    <t xml:space="preserve">CAPITULO I </t>
  </si>
  <si>
    <t xml:space="preserve"> Consultas</t>
  </si>
  <si>
    <t>01.01</t>
  </si>
  <si>
    <t>Primera consulta y fichado</t>
  </si>
  <si>
    <t>$ 5043.00</t>
  </si>
  <si>
    <t>01.04</t>
  </si>
  <si>
    <t>Consulta de urgencia</t>
  </si>
  <si>
    <t>$ 5476.00</t>
  </si>
  <si>
    <t>01.04.10</t>
  </si>
  <si>
    <t>Módulo EPP COVID-19</t>
  </si>
  <si>
    <t>$1500.00</t>
  </si>
  <si>
    <t xml:space="preserve">CAPITULO II </t>
  </si>
  <si>
    <t>Operatoria Dental</t>
  </si>
  <si>
    <t>02.01</t>
  </si>
  <si>
    <t>Obturac. C/amalgamas. Simple</t>
  </si>
  <si>
    <t>$ 9217.00</t>
  </si>
  <si>
    <t>02.02</t>
  </si>
  <si>
    <t>Obturac. C/amalgamas. Compuesta</t>
  </si>
  <si>
    <t>$ 13415.00</t>
  </si>
  <si>
    <t>02.08</t>
  </si>
  <si>
    <t>Rest .simple c/luz halógena        (canino a canino)</t>
  </si>
  <si>
    <t>$ 9891.00</t>
  </si>
  <si>
    <t>02.09</t>
  </si>
  <si>
    <t xml:space="preserve">Rest .compuesta c/luz halógena (canino a canino) </t>
  </si>
  <si>
    <t>$ 16371.00</t>
  </si>
  <si>
    <t>CAPITULO III</t>
  </si>
  <si>
    <t xml:space="preserve"> Endodoncias</t>
  </si>
  <si>
    <t>03.01</t>
  </si>
  <si>
    <r>
      <t xml:space="preserve">Trat. Conducto unirradicular. </t>
    </r>
    <r>
      <rPr>
        <b/>
        <sz val="11"/>
        <color rgb="FF000000"/>
        <rFont val="Times New Roman"/>
        <family val="1"/>
      </rPr>
      <t>Incl.RX</t>
    </r>
  </si>
  <si>
    <t>$ 18258.00</t>
  </si>
  <si>
    <t>03.02</t>
  </si>
  <si>
    <r>
      <t xml:space="preserve">Trat. Conducto multirradicular. </t>
    </r>
    <r>
      <rPr>
        <b/>
        <sz val="11"/>
        <color rgb="FF000000"/>
        <rFont val="Times New Roman"/>
        <family val="1"/>
      </rPr>
      <t>Incl. RX</t>
    </r>
  </si>
  <si>
    <t>$ 25803.00</t>
  </si>
  <si>
    <t>03.05</t>
  </si>
  <si>
    <r>
      <t xml:space="preserve">Biopulpectomía parcial. </t>
    </r>
    <r>
      <rPr>
        <b/>
        <sz val="11"/>
        <color rgb="FF000000"/>
        <rFont val="Times New Roman"/>
        <family val="1"/>
      </rPr>
      <t>Incl. RX</t>
    </r>
  </si>
  <si>
    <t>$ 12388.00</t>
  </si>
  <si>
    <t xml:space="preserve">CAPITULO V </t>
  </si>
  <si>
    <t>Odontología preventiva</t>
  </si>
  <si>
    <t>05.01</t>
  </si>
  <si>
    <t>Tartrectomía y cepillado mecánico</t>
  </si>
  <si>
    <t>$ 7428.00</t>
  </si>
  <si>
    <t>05.02</t>
  </si>
  <si>
    <t>Consulta prevent. c/cepillado y flúor</t>
  </si>
  <si>
    <t>$ 7595.00</t>
  </si>
  <si>
    <t>05.05</t>
  </si>
  <si>
    <t>Sellante de puntos y fisuras</t>
  </si>
  <si>
    <t>$ 6735.00</t>
  </si>
  <si>
    <t>05.06</t>
  </si>
  <si>
    <t>Aplicación de cariostáticos</t>
  </si>
  <si>
    <t>$ 7216.00</t>
  </si>
  <si>
    <t xml:space="preserve">CAPITULO VII </t>
  </si>
  <si>
    <t xml:space="preserve"> Odontopediatría</t>
  </si>
  <si>
    <t>07.01</t>
  </si>
  <si>
    <t>Motivación hasta 13 años</t>
  </si>
  <si>
    <t>$ 10877.00</t>
  </si>
  <si>
    <t>07.04</t>
  </si>
  <si>
    <t>Trat. Dientes primarios c/formocresol</t>
  </si>
  <si>
    <t>CAPITULO VIII</t>
  </si>
  <si>
    <t xml:space="preserve"> Periodoncia </t>
  </si>
  <si>
    <t>08.01</t>
  </si>
  <si>
    <t>Consulta de estudio diagnóstico y pronóst.</t>
  </si>
  <si>
    <t>08.02</t>
  </si>
  <si>
    <t>Trat. de Gingivitis marginal crónica</t>
  </si>
  <si>
    <t>$ 15015.00</t>
  </si>
  <si>
    <t>08.03</t>
  </si>
  <si>
    <t>Trat. Periodontal destructiva leve</t>
  </si>
  <si>
    <t>$ 11344.00</t>
  </si>
  <si>
    <t>08.04</t>
  </si>
  <si>
    <t>Trat. Periodontal destructiva severa</t>
  </si>
  <si>
    <t>$ 14931.00</t>
  </si>
  <si>
    <t xml:space="preserve">CAPITULO IX </t>
  </si>
  <si>
    <t>Radiología</t>
  </si>
  <si>
    <t>09.01.01</t>
  </si>
  <si>
    <t>Radiog. intraoral periapical</t>
  </si>
  <si>
    <t>$ 2877.00</t>
  </si>
  <si>
    <t>09.01.03</t>
  </si>
  <si>
    <t>Oclusal 6x8 cm.</t>
  </si>
  <si>
    <t>$ 3930.00</t>
  </si>
  <si>
    <t>NOTA: Todo código de RX debe indicarse motivo y diagnóstico.</t>
  </si>
  <si>
    <t>09.01.04</t>
  </si>
  <si>
    <t>Rx seriada ( de 5 a 7 películas)</t>
  </si>
  <si>
    <t>$ 10872.00</t>
  </si>
  <si>
    <t>09.01.05</t>
  </si>
  <si>
    <t>Rx seriada ( de 8 a 14 películas)</t>
  </si>
  <si>
    <t>$ 16594.00</t>
  </si>
  <si>
    <t>09.02.04</t>
  </si>
  <si>
    <t>Pantomografía</t>
  </si>
  <si>
    <t>$ 11553.00</t>
  </si>
  <si>
    <t xml:space="preserve">CAPITULO X </t>
  </si>
  <si>
    <t>Cirugía</t>
  </si>
  <si>
    <t>10.01</t>
  </si>
  <si>
    <t>Extracción dentaria simple</t>
  </si>
  <si>
    <t>$ 9919.00</t>
  </si>
  <si>
    <t>10.02</t>
  </si>
  <si>
    <t>Plástica de comunic. buco-sinusal</t>
  </si>
  <si>
    <t>$ 12594.00</t>
  </si>
  <si>
    <t>10.03</t>
  </si>
  <si>
    <t>Biopsia por punción o aspiración</t>
  </si>
  <si>
    <t>$ 11244.00</t>
  </si>
  <si>
    <t>10.04</t>
  </si>
  <si>
    <t>Alveolec. estabiliz. P/zonas 6 zonas</t>
  </si>
  <si>
    <t>$ 6666.00</t>
  </si>
  <si>
    <t>10.05</t>
  </si>
  <si>
    <t>Reimpl. dentario inmediato al trauma</t>
  </si>
  <si>
    <t>$ 14127.00</t>
  </si>
  <si>
    <t>10.06</t>
  </si>
  <si>
    <t>Incisión y drenaje abces. P/vía intrab.</t>
  </si>
  <si>
    <t>$ 6168.00</t>
  </si>
  <si>
    <t>10.09</t>
  </si>
  <si>
    <t>Extracción de dientes en retención mucosa</t>
  </si>
  <si>
    <t>$ 19873.00</t>
  </si>
  <si>
    <t>10.09.01</t>
  </si>
  <si>
    <t xml:space="preserve">Extracción de dientes en retención ósea </t>
  </si>
  <si>
    <t>$ 37884.00</t>
  </si>
  <si>
    <t>10.10</t>
  </si>
  <si>
    <t>Germectomía</t>
  </si>
  <si>
    <t>$ 41353.00</t>
  </si>
  <si>
    <t>10.11</t>
  </si>
  <si>
    <t>Liberación de dientes retenidos</t>
  </si>
  <si>
    <t>SOP-OSPIM    PLANES KRONO- KRONO 0 Y QUATUM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</si>
</sst>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"/>
  <sheetViews>
    <sheetView tabSelected="1" workbookViewId="0">
      <selection activeCell="F3" sqref="F3"/>
    </sheetView>
  </sheetViews>
  <sheetFormatPr baseColWidth="10" defaultRowHeight="14.4" x14ac:dyDescent="0.3"/>
  <cols>
    <col min="1" max="1" width="23" customWidth="1"/>
    <col min="2" max="2" width="45.5546875" customWidth="1"/>
    <col min="3" max="3" width="22.5546875" customWidth="1"/>
  </cols>
  <sheetData>
    <row r="2" spans="1:5" x14ac:dyDescent="0.3">
      <c r="A2" s="15"/>
      <c r="B2" s="16" t="s">
        <v>121</v>
      </c>
      <c r="C2" s="2" t="s">
        <v>0</v>
      </c>
    </row>
    <row r="3" spans="1:5" x14ac:dyDescent="0.3">
      <c r="A3" s="15"/>
      <c r="B3" s="16"/>
      <c r="C3" s="2" t="s">
        <v>1</v>
      </c>
    </row>
    <row r="4" spans="1:5" ht="15.6" x14ac:dyDescent="0.3">
      <c r="A4" s="4" t="s">
        <v>2</v>
      </c>
      <c r="B4" s="5" t="s">
        <v>3</v>
      </c>
      <c r="C4" s="6"/>
    </row>
    <row r="5" spans="1:5" ht="30" customHeight="1" x14ac:dyDescent="0.3">
      <c r="A5" s="7" t="s">
        <v>4</v>
      </c>
      <c r="B5" s="7" t="s">
        <v>5</v>
      </c>
      <c r="C5" s="8" t="s">
        <v>6</v>
      </c>
      <c r="D5">
        <f>VALUE(C5)</f>
        <v>5043</v>
      </c>
      <c r="E5">
        <v>5043</v>
      </c>
    </row>
    <row r="6" spans="1:5" ht="15" customHeight="1" x14ac:dyDescent="0.3">
      <c r="A6" s="7" t="s">
        <v>7</v>
      </c>
      <c r="B6" s="7" t="s">
        <v>8</v>
      </c>
      <c r="C6" s="8" t="s">
        <v>9</v>
      </c>
      <c r="D6">
        <f t="shared" ref="D6:D54" si="0">VALUE(C6)</f>
        <v>5476</v>
      </c>
      <c r="E6">
        <v>5476</v>
      </c>
    </row>
    <row r="7" spans="1:5" ht="15" customHeight="1" x14ac:dyDescent="0.3">
      <c r="A7" s="7" t="s">
        <v>10</v>
      </c>
      <c r="B7" s="7" t="s">
        <v>11</v>
      </c>
      <c r="C7" s="8" t="s">
        <v>12</v>
      </c>
      <c r="D7">
        <f t="shared" si="0"/>
        <v>1500</v>
      </c>
      <c r="E7">
        <v>1500</v>
      </c>
    </row>
    <row r="8" spans="1:5" x14ac:dyDescent="0.3">
      <c r="A8" s="1"/>
      <c r="B8" s="1"/>
      <c r="C8" s="8"/>
      <c r="D8">
        <f t="shared" si="0"/>
        <v>0</v>
      </c>
      <c r="E8">
        <v>0</v>
      </c>
    </row>
    <row r="9" spans="1:5" x14ac:dyDescent="0.3">
      <c r="A9" s="4" t="s">
        <v>13</v>
      </c>
      <c r="B9" s="9" t="s">
        <v>14</v>
      </c>
      <c r="C9" s="8"/>
      <c r="D9">
        <f t="shared" si="0"/>
        <v>0</v>
      </c>
      <c r="E9">
        <v>0</v>
      </c>
    </row>
    <row r="10" spans="1:5" ht="30" customHeight="1" x14ac:dyDescent="0.3">
      <c r="A10" s="7" t="s">
        <v>15</v>
      </c>
      <c r="B10" s="7" t="s">
        <v>16</v>
      </c>
      <c r="C10" s="8" t="s">
        <v>17</v>
      </c>
      <c r="D10">
        <f t="shared" si="0"/>
        <v>9217</v>
      </c>
      <c r="E10">
        <v>9217</v>
      </c>
    </row>
    <row r="11" spans="1:5" ht="30" customHeight="1" x14ac:dyDescent="0.3">
      <c r="A11" s="7" t="s">
        <v>18</v>
      </c>
      <c r="B11" s="7" t="s">
        <v>19</v>
      </c>
      <c r="C11" s="8" t="s">
        <v>20</v>
      </c>
      <c r="D11">
        <f t="shared" si="0"/>
        <v>13415</v>
      </c>
      <c r="E11">
        <v>13415</v>
      </c>
    </row>
    <row r="12" spans="1:5" ht="45" customHeight="1" x14ac:dyDescent="0.3">
      <c r="A12" s="7" t="s">
        <v>21</v>
      </c>
      <c r="B12" s="7" t="s">
        <v>22</v>
      </c>
      <c r="C12" s="8" t="s">
        <v>23</v>
      </c>
      <c r="D12">
        <f t="shared" si="0"/>
        <v>9891</v>
      </c>
      <c r="E12">
        <v>9891</v>
      </c>
    </row>
    <row r="13" spans="1:5" ht="45" customHeight="1" x14ac:dyDescent="0.3">
      <c r="A13" s="7" t="s">
        <v>24</v>
      </c>
      <c r="B13" s="7" t="s">
        <v>25</v>
      </c>
      <c r="C13" s="8" t="s">
        <v>26</v>
      </c>
      <c r="D13">
        <f t="shared" si="0"/>
        <v>16371</v>
      </c>
      <c r="E13">
        <v>16371</v>
      </c>
    </row>
    <row r="14" spans="1:5" x14ac:dyDescent="0.3">
      <c r="A14" s="1"/>
      <c r="B14" s="1"/>
      <c r="C14" s="8"/>
      <c r="D14">
        <f t="shared" si="0"/>
        <v>0</v>
      </c>
      <c r="E14">
        <v>0</v>
      </c>
    </row>
    <row r="15" spans="1:5" x14ac:dyDescent="0.3">
      <c r="A15" s="4" t="s">
        <v>27</v>
      </c>
      <c r="B15" s="5" t="s">
        <v>28</v>
      </c>
      <c r="C15" s="8"/>
      <c r="D15">
        <f t="shared" si="0"/>
        <v>0</v>
      </c>
      <c r="E15">
        <v>0</v>
      </c>
    </row>
    <row r="16" spans="1:5" ht="30" customHeight="1" x14ac:dyDescent="0.3">
      <c r="A16" s="7" t="s">
        <v>29</v>
      </c>
      <c r="B16" s="7" t="s">
        <v>30</v>
      </c>
      <c r="C16" s="8" t="s">
        <v>31</v>
      </c>
      <c r="D16">
        <f t="shared" si="0"/>
        <v>18258</v>
      </c>
      <c r="E16">
        <v>18258</v>
      </c>
    </row>
    <row r="17" spans="1:5" ht="30" customHeight="1" x14ac:dyDescent="0.3">
      <c r="A17" s="7" t="s">
        <v>32</v>
      </c>
      <c r="B17" s="7" t="s">
        <v>33</v>
      </c>
      <c r="C17" s="8" t="s">
        <v>34</v>
      </c>
      <c r="D17">
        <f t="shared" si="0"/>
        <v>25803</v>
      </c>
      <c r="E17">
        <v>25803</v>
      </c>
    </row>
    <row r="18" spans="1:5" ht="29.25" customHeight="1" x14ac:dyDescent="0.3">
      <c r="A18" s="7" t="s">
        <v>35</v>
      </c>
      <c r="B18" s="7" t="s">
        <v>36</v>
      </c>
      <c r="C18" s="8" t="s">
        <v>37</v>
      </c>
      <c r="D18">
        <f t="shared" si="0"/>
        <v>12388</v>
      </c>
      <c r="E18">
        <v>12388</v>
      </c>
    </row>
    <row r="19" spans="1:5" x14ac:dyDescent="0.3">
      <c r="A19" s="1"/>
      <c r="B19" s="1"/>
      <c r="C19" s="8"/>
      <c r="D19">
        <f t="shared" si="0"/>
        <v>0</v>
      </c>
      <c r="E19">
        <v>0</v>
      </c>
    </row>
    <row r="20" spans="1:5" x14ac:dyDescent="0.3">
      <c r="A20" s="4" t="s">
        <v>38</v>
      </c>
      <c r="B20" s="9" t="s">
        <v>39</v>
      </c>
      <c r="C20" s="8"/>
      <c r="D20">
        <f t="shared" si="0"/>
        <v>0</v>
      </c>
      <c r="E20">
        <v>0</v>
      </c>
    </row>
    <row r="21" spans="1:5" ht="30" customHeight="1" x14ac:dyDescent="0.3">
      <c r="A21" s="7" t="s">
        <v>40</v>
      </c>
      <c r="B21" s="7" t="s">
        <v>41</v>
      </c>
      <c r="C21" s="8" t="s">
        <v>42</v>
      </c>
      <c r="D21">
        <f t="shared" si="0"/>
        <v>7428</v>
      </c>
      <c r="E21">
        <v>7428</v>
      </c>
    </row>
    <row r="22" spans="1:5" ht="30" customHeight="1" x14ac:dyDescent="0.3">
      <c r="A22" s="7" t="s">
        <v>43</v>
      </c>
      <c r="B22" s="7" t="s">
        <v>44</v>
      </c>
      <c r="C22" s="8" t="s">
        <v>45</v>
      </c>
      <c r="D22">
        <f t="shared" si="0"/>
        <v>7595</v>
      </c>
      <c r="E22">
        <v>7595</v>
      </c>
    </row>
    <row r="23" spans="1:5" ht="30" customHeight="1" x14ac:dyDescent="0.3">
      <c r="A23" s="7" t="s">
        <v>46</v>
      </c>
      <c r="B23" s="7" t="s">
        <v>47</v>
      </c>
      <c r="C23" s="8" t="s">
        <v>48</v>
      </c>
      <c r="D23">
        <f t="shared" si="0"/>
        <v>6735</v>
      </c>
      <c r="E23">
        <v>6735</v>
      </c>
    </row>
    <row r="24" spans="1:5" ht="30" customHeight="1" x14ac:dyDescent="0.3">
      <c r="A24" s="7" t="s">
        <v>49</v>
      </c>
      <c r="B24" s="7" t="s">
        <v>50</v>
      </c>
      <c r="C24" s="8" t="s">
        <v>51</v>
      </c>
      <c r="D24">
        <f t="shared" si="0"/>
        <v>7216</v>
      </c>
      <c r="E24">
        <v>7216</v>
      </c>
    </row>
    <row r="25" spans="1:5" x14ac:dyDescent="0.3">
      <c r="A25" s="10"/>
      <c r="B25" s="10"/>
      <c r="C25" s="8"/>
      <c r="D25">
        <f t="shared" si="0"/>
        <v>0</v>
      </c>
      <c r="E25">
        <v>0</v>
      </c>
    </row>
    <row r="26" spans="1:5" x14ac:dyDescent="0.3">
      <c r="A26" s="4" t="s">
        <v>52</v>
      </c>
      <c r="B26" s="9" t="s">
        <v>53</v>
      </c>
      <c r="C26" s="8"/>
      <c r="D26">
        <f t="shared" si="0"/>
        <v>0</v>
      </c>
      <c r="E26">
        <v>0</v>
      </c>
    </row>
    <row r="27" spans="1:5" ht="15" customHeight="1" x14ac:dyDescent="0.3">
      <c r="A27" s="7" t="s">
        <v>54</v>
      </c>
      <c r="B27" s="7" t="s">
        <v>55</v>
      </c>
      <c r="C27" s="8" t="s">
        <v>56</v>
      </c>
      <c r="D27">
        <f t="shared" si="0"/>
        <v>10877</v>
      </c>
      <c r="E27">
        <v>10877</v>
      </c>
    </row>
    <row r="28" spans="1:5" ht="30" customHeight="1" x14ac:dyDescent="0.3">
      <c r="A28" s="7" t="s">
        <v>57</v>
      </c>
      <c r="B28" s="7" t="s">
        <v>58</v>
      </c>
      <c r="C28" s="8" t="s">
        <v>37</v>
      </c>
      <c r="D28">
        <f t="shared" si="0"/>
        <v>12388</v>
      </c>
      <c r="E28">
        <v>12388</v>
      </c>
    </row>
    <row r="29" spans="1:5" x14ac:dyDescent="0.3">
      <c r="A29" s="1"/>
      <c r="B29" s="1"/>
      <c r="C29" s="8"/>
      <c r="D29">
        <f t="shared" si="0"/>
        <v>0</v>
      </c>
      <c r="E29">
        <v>0</v>
      </c>
    </row>
    <row r="30" spans="1:5" x14ac:dyDescent="0.3">
      <c r="A30" s="4" t="s">
        <v>59</v>
      </c>
      <c r="B30" s="5" t="s">
        <v>60</v>
      </c>
      <c r="C30" s="8"/>
      <c r="D30">
        <f t="shared" si="0"/>
        <v>0</v>
      </c>
      <c r="E30">
        <v>0</v>
      </c>
    </row>
    <row r="31" spans="1:5" ht="30" customHeight="1" x14ac:dyDescent="0.3">
      <c r="A31" s="7" t="s">
        <v>61</v>
      </c>
      <c r="B31" s="7" t="s">
        <v>62</v>
      </c>
      <c r="C31" s="8" t="s">
        <v>56</v>
      </c>
      <c r="D31">
        <f t="shared" si="0"/>
        <v>10877</v>
      </c>
      <c r="E31">
        <v>10877</v>
      </c>
    </row>
    <row r="32" spans="1:5" ht="30" customHeight="1" x14ac:dyDescent="0.3">
      <c r="A32" s="7" t="s">
        <v>63</v>
      </c>
      <c r="B32" s="7" t="s">
        <v>64</v>
      </c>
      <c r="C32" s="8" t="s">
        <v>65</v>
      </c>
      <c r="D32">
        <f t="shared" si="0"/>
        <v>15015</v>
      </c>
      <c r="E32">
        <v>15015</v>
      </c>
    </row>
    <row r="33" spans="1:5" ht="30" customHeight="1" x14ac:dyDescent="0.3">
      <c r="A33" s="7" t="s">
        <v>66</v>
      </c>
      <c r="B33" s="7" t="s">
        <v>67</v>
      </c>
      <c r="C33" s="8" t="s">
        <v>68</v>
      </c>
      <c r="D33">
        <f t="shared" si="0"/>
        <v>11344</v>
      </c>
      <c r="E33">
        <v>11344</v>
      </c>
    </row>
    <row r="34" spans="1:5" ht="30" customHeight="1" x14ac:dyDescent="0.3">
      <c r="A34" s="7" t="s">
        <v>69</v>
      </c>
      <c r="B34" s="7" t="s">
        <v>70</v>
      </c>
      <c r="C34" s="8" t="s">
        <v>71</v>
      </c>
      <c r="D34">
        <f t="shared" si="0"/>
        <v>14931</v>
      </c>
      <c r="E34">
        <v>14931</v>
      </c>
    </row>
    <row r="35" spans="1:5" x14ac:dyDescent="0.3">
      <c r="A35" s="1"/>
      <c r="B35" s="1"/>
      <c r="C35" s="8"/>
      <c r="D35">
        <f t="shared" si="0"/>
        <v>0</v>
      </c>
      <c r="E35">
        <v>0</v>
      </c>
    </row>
    <row r="36" spans="1:5" x14ac:dyDescent="0.3">
      <c r="A36" s="4" t="s">
        <v>72</v>
      </c>
      <c r="B36" s="5" t="s">
        <v>73</v>
      </c>
      <c r="C36" s="8"/>
      <c r="D36">
        <f t="shared" si="0"/>
        <v>0</v>
      </c>
      <c r="E36">
        <v>0</v>
      </c>
    </row>
    <row r="37" spans="1:5" ht="30" customHeight="1" x14ac:dyDescent="0.3">
      <c r="A37" s="7" t="s">
        <v>74</v>
      </c>
      <c r="B37" s="7" t="s">
        <v>75</v>
      </c>
      <c r="C37" s="8" t="s">
        <v>76</v>
      </c>
      <c r="D37">
        <f t="shared" si="0"/>
        <v>2877</v>
      </c>
      <c r="E37">
        <v>2877</v>
      </c>
    </row>
    <row r="38" spans="1:5" ht="15" customHeight="1" x14ac:dyDescent="0.3">
      <c r="A38" s="7" t="s">
        <v>77</v>
      </c>
      <c r="B38" s="7" t="s">
        <v>78</v>
      </c>
      <c r="C38" s="8" t="s">
        <v>79</v>
      </c>
      <c r="D38">
        <f t="shared" si="0"/>
        <v>3930</v>
      </c>
      <c r="E38">
        <v>3930</v>
      </c>
    </row>
    <row r="39" spans="1:5" ht="42.75" customHeight="1" x14ac:dyDescent="0.3">
      <c r="A39" s="11"/>
      <c r="B39" s="12" t="s">
        <v>80</v>
      </c>
      <c r="C39" s="8"/>
      <c r="D39">
        <f t="shared" si="0"/>
        <v>0</v>
      </c>
      <c r="E39">
        <v>0</v>
      </c>
    </row>
    <row r="40" spans="1:5" ht="30" customHeight="1" x14ac:dyDescent="0.3">
      <c r="A40" s="7" t="s">
        <v>81</v>
      </c>
      <c r="B40" s="7" t="s">
        <v>82</v>
      </c>
      <c r="C40" s="8" t="s">
        <v>83</v>
      </c>
      <c r="D40">
        <f t="shared" si="0"/>
        <v>10872</v>
      </c>
      <c r="E40">
        <v>10872</v>
      </c>
    </row>
    <row r="41" spans="1:5" ht="30" customHeight="1" x14ac:dyDescent="0.3">
      <c r="A41" s="7" t="s">
        <v>84</v>
      </c>
      <c r="B41" s="7" t="s">
        <v>85</v>
      </c>
      <c r="C41" s="8" t="s">
        <v>86</v>
      </c>
      <c r="D41">
        <f t="shared" si="0"/>
        <v>16594</v>
      </c>
      <c r="E41">
        <v>16594</v>
      </c>
    </row>
    <row r="42" spans="1:5" ht="15" customHeight="1" x14ac:dyDescent="0.3">
      <c r="A42" s="7" t="s">
        <v>87</v>
      </c>
      <c r="B42" s="7" t="s">
        <v>88</v>
      </c>
      <c r="C42" s="8" t="s">
        <v>89</v>
      </c>
      <c r="D42">
        <f t="shared" si="0"/>
        <v>11553</v>
      </c>
      <c r="E42">
        <v>11553</v>
      </c>
    </row>
    <row r="43" spans="1:5" x14ac:dyDescent="0.3">
      <c r="A43" s="13"/>
      <c r="B43" s="13"/>
      <c r="C43" s="8"/>
      <c r="D43">
        <f t="shared" si="0"/>
        <v>0</v>
      </c>
      <c r="E43">
        <v>0</v>
      </c>
    </row>
    <row r="44" spans="1:5" x14ac:dyDescent="0.3">
      <c r="A44" s="4" t="s">
        <v>90</v>
      </c>
      <c r="B44" s="9" t="s">
        <v>91</v>
      </c>
      <c r="C44" s="8"/>
      <c r="D44">
        <f t="shared" si="0"/>
        <v>0</v>
      </c>
      <c r="E44">
        <v>0</v>
      </c>
    </row>
    <row r="45" spans="1:5" ht="15" customHeight="1" x14ac:dyDescent="0.3">
      <c r="A45" s="7" t="s">
        <v>92</v>
      </c>
      <c r="B45" s="7" t="s">
        <v>93</v>
      </c>
      <c r="C45" s="8" t="s">
        <v>94</v>
      </c>
      <c r="D45">
        <f t="shared" si="0"/>
        <v>9919</v>
      </c>
      <c r="E45">
        <v>9919</v>
      </c>
    </row>
    <row r="46" spans="1:5" ht="30" customHeight="1" x14ac:dyDescent="0.3">
      <c r="A46" s="7" t="s">
        <v>95</v>
      </c>
      <c r="B46" s="7" t="s">
        <v>96</v>
      </c>
      <c r="C46" s="8" t="s">
        <v>97</v>
      </c>
      <c r="D46">
        <f t="shared" si="0"/>
        <v>12594</v>
      </c>
      <c r="E46">
        <v>12594</v>
      </c>
    </row>
    <row r="47" spans="1:5" ht="30" customHeight="1" x14ac:dyDescent="0.3">
      <c r="A47" s="7" t="s">
        <v>98</v>
      </c>
      <c r="B47" s="7" t="s">
        <v>99</v>
      </c>
      <c r="C47" s="8" t="s">
        <v>100</v>
      </c>
      <c r="D47">
        <f t="shared" si="0"/>
        <v>11244</v>
      </c>
      <c r="E47">
        <v>11244</v>
      </c>
    </row>
    <row r="48" spans="1:5" ht="30" customHeight="1" x14ac:dyDescent="0.3">
      <c r="A48" s="7" t="s">
        <v>101</v>
      </c>
      <c r="B48" s="7" t="s">
        <v>102</v>
      </c>
      <c r="C48" s="8" t="s">
        <v>103</v>
      </c>
      <c r="D48">
        <f t="shared" si="0"/>
        <v>6666</v>
      </c>
      <c r="E48">
        <v>6666</v>
      </c>
    </row>
    <row r="49" spans="1:5" ht="30" customHeight="1" x14ac:dyDescent="0.3">
      <c r="A49" s="7" t="s">
        <v>104</v>
      </c>
      <c r="B49" s="7" t="s">
        <v>105</v>
      </c>
      <c r="C49" s="8" t="s">
        <v>106</v>
      </c>
      <c r="D49">
        <f t="shared" si="0"/>
        <v>14127</v>
      </c>
      <c r="E49">
        <v>14127</v>
      </c>
    </row>
    <row r="50" spans="1:5" ht="30" customHeight="1" x14ac:dyDescent="0.3">
      <c r="A50" s="7" t="s">
        <v>107</v>
      </c>
      <c r="B50" s="7" t="s">
        <v>108</v>
      </c>
      <c r="C50" s="8" t="s">
        <v>109</v>
      </c>
      <c r="D50">
        <f t="shared" si="0"/>
        <v>6168</v>
      </c>
      <c r="E50">
        <v>6168</v>
      </c>
    </row>
    <row r="51" spans="1:5" ht="30" customHeight="1" x14ac:dyDescent="0.3">
      <c r="A51" s="7" t="s">
        <v>110</v>
      </c>
      <c r="B51" s="7" t="s">
        <v>111</v>
      </c>
      <c r="C51" s="8" t="s">
        <v>112</v>
      </c>
      <c r="D51">
        <f t="shared" si="0"/>
        <v>19873</v>
      </c>
      <c r="E51">
        <v>19873</v>
      </c>
    </row>
    <row r="52" spans="1:5" ht="30" customHeight="1" x14ac:dyDescent="0.3">
      <c r="A52" s="7" t="s">
        <v>113</v>
      </c>
      <c r="B52" s="7" t="s">
        <v>114</v>
      </c>
      <c r="C52" s="8" t="s">
        <v>115</v>
      </c>
      <c r="D52">
        <f t="shared" si="0"/>
        <v>37884</v>
      </c>
      <c r="E52">
        <v>37884</v>
      </c>
    </row>
    <row r="53" spans="1:5" ht="15" customHeight="1" x14ac:dyDescent="0.3">
      <c r="A53" s="7" t="s">
        <v>116</v>
      </c>
      <c r="B53" s="7" t="s">
        <v>117</v>
      </c>
      <c r="C53" s="8" t="s">
        <v>118</v>
      </c>
      <c r="D53">
        <f t="shared" si="0"/>
        <v>41353</v>
      </c>
      <c r="E53">
        <v>41353</v>
      </c>
    </row>
    <row r="54" spans="1:5" ht="30" customHeight="1" x14ac:dyDescent="0.3">
      <c r="A54" s="7" t="s">
        <v>119</v>
      </c>
      <c r="B54" s="7" t="s">
        <v>120</v>
      </c>
      <c r="C54" s="8" t="s">
        <v>31</v>
      </c>
      <c r="D54">
        <f t="shared" si="0"/>
        <v>18258</v>
      </c>
      <c r="E54">
        <v>18258</v>
      </c>
    </row>
    <row r="55" spans="1:5" x14ac:dyDescent="0.3">
      <c r="A55" s="3"/>
      <c r="B55" s="3"/>
      <c r="C55" s="3"/>
    </row>
    <row r="56" spans="1:5" ht="15.6" x14ac:dyDescent="0.3">
      <c r="A56" s="14"/>
    </row>
    <row r="57" spans="1:5" ht="15.6" x14ac:dyDescent="0.3">
      <c r="A57" s="14"/>
    </row>
  </sheetData>
  <mergeCells count="2"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2023-09-08T15:09:18Z</dcterms:created>
  <dcterms:modified xsi:type="dcterms:W3CDTF">2023-09-08T18:47:25Z</dcterms:modified>
</cp:coreProperties>
</file>