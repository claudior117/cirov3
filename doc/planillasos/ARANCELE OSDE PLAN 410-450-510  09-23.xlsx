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"/>
    </mc:Choice>
  </mc:AlternateContent>
  <bookViews>
    <workbookView xWindow="0" yWindow="0" windowWidth="15336" windowHeight="39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<sst xmlns="http://schemas.openxmlformats.org/spreadsheetml/2006/main" count="156" uniqueCount="137">
  <si>
    <t>EXAMEN DIAGNOSTICO, FICHADO Y PLAN DE TRATAMIENTO</t>
  </si>
  <si>
    <t>CONSULTA DE URGENCIA</t>
  </si>
  <si>
    <t>CONSULTA PREVENTIVA Y PERIODICA EN EMBARAZADAS.</t>
  </si>
  <si>
    <t>INTERCONSULTA CON ESPECIALISTA.</t>
  </si>
  <si>
    <t>CEMENTADO DE CORONA.</t>
  </si>
  <si>
    <t>CONSULTA DE CONTROL POST ENDODONCIA.</t>
  </si>
  <si>
    <t>CONSULTA PRE QUIRURGICA.</t>
  </si>
  <si>
    <t>RECONSTRUCCION DE ANGULO EN PIEZAS ANTERIORES Y CON TORNILLOEN POSTERIORES.</t>
  </si>
  <si>
    <t>$6481.20</t>
  </si>
  <si>
    <t>RESTAURACIONES.</t>
  </si>
  <si>
    <t>BIOPULPECTOMIA TOTAL EN UNIRRADICULARES.</t>
  </si>
  <si>
    <t>$11400.00</t>
  </si>
  <si>
    <t>BIOPULPECTOMIA TOTAL EN MULTIRRADICULARES.</t>
  </si>
  <si>
    <t>$15200.00</t>
  </si>
  <si>
    <t>DESOBTURACION DE CONDUCTOS.</t>
  </si>
  <si>
    <t>MOMIFICACION - BIOPULPECTOMIA PARCIAL</t>
  </si>
  <si>
    <t>$2346.85</t>
  </si>
  <si>
    <t>PROTECCION PULPAR DIRECTA</t>
  </si>
  <si>
    <t>ACOPIO DE PASTA ALCALINA.</t>
  </si>
  <si>
    <t>MODULO DE PREVENCION.</t>
  </si>
  <si>
    <t>MANTENIMIENTO DE TRATAMIENTO PERIODONTAL</t>
  </si>
  <si>
    <t>SELLANTES DE FOSAS Y FISURAS</t>
  </si>
  <si>
    <t>TRATAMIENTO CON CARIOSTATICOS REMINERALIZANTES EN PIEZAS TEMPORARIAS.</t>
  </si>
  <si>
    <t>CONSULTA, FICHADO Y MOTIVACION</t>
  </si>
  <si>
    <t>TRATAMIENTO CON FORMOCRESOL EN DENTICION TEMPORARIA</t>
  </si>
  <si>
    <t>REDUCCION DE LUXACION O AVULSION CON INMOVILIZACION DENTARIA</t>
  </si>
  <si>
    <t>CONSULTA DE ESTUDIO - DIAGNOSTICO- PRONOSTICO Y PLAN DE TRATAMIENTO</t>
  </si>
  <si>
    <t>TRATAMIENTO DE GINGIVITIS.</t>
  </si>
  <si>
    <t>TRATAMIENTO DE ENFERMEDAD PERIODONTAL LEVE Y MODERADA(6 SEC-TORES)</t>
  </si>
  <si>
    <t>$2471.77</t>
  </si>
  <si>
    <t>TRATAMIENTO DE ENFERMEDAD PERIODONTAL SEVERA(6 SECTORES).</t>
  </si>
  <si>
    <t>$3007.18</t>
  </si>
  <si>
    <t>SUMATORIA DE PIEZAS(SP)</t>
  </si>
  <si>
    <t>$3199.06</t>
  </si>
  <si>
    <t>DESGASTE SELECTIVO O ARMONIZACION OCLUSAL</t>
  </si>
  <si>
    <t>RADIOGRAFIA PERIAPICAL O RVG(RADIOVISIOGRAFIA)</t>
  </si>
  <si>
    <t>BITE-WING</t>
  </si>
  <si>
    <t>OCLUSAL DE 6 X 8 CM.</t>
  </si>
  <si>
    <t>MEDIA SERIADA.</t>
  </si>
  <si>
    <t>$2418.27</t>
  </si>
  <si>
    <t>SERIADA.</t>
  </si>
  <si>
    <t>EXTRACCION DENTARIA</t>
  </si>
  <si>
    <t>$4989.58</t>
  </si>
  <si>
    <t>PLASTICA DE COMUNICACION BUCO-SINUSAL COMO RIESGO PREVISTO SIMULTANEA A AL EXTRACCION.</t>
  </si>
  <si>
    <t>BIOPSIA POR PUNCION, ASPIRACION O ESCISION</t>
  </si>
  <si>
    <t>$2819.84</t>
  </si>
  <si>
    <t>ALVEOLECTOMIA CORRECTIVA O ESTABILIZADORA Y REGULARIZADORA POR ZONA(SEIS ZONAS)</t>
  </si>
  <si>
    <t>INCISION Y DRENAJE DE ABCESOS POR VIA BUCAL</t>
  </si>
  <si>
    <t>$1494.68</t>
  </si>
  <si>
    <t>ALARGAMIENTO QUIRURGICO DE CORONA CLINICA</t>
  </si>
  <si>
    <t>$1200.25</t>
  </si>
  <si>
    <t>EXTRACCION DE PIEZAS EN RETENCION OSEA.</t>
  </si>
  <si>
    <t>$12569.51</t>
  </si>
  <si>
    <t>EXTRACCION DE PIEZAS EN RETENCION MUCOSA.</t>
  </si>
  <si>
    <t>$6745.34</t>
  </si>
  <si>
    <t>RADECTOMIA U ODONTOSECCION.</t>
  </si>
  <si>
    <t>LIBERACION DE PIEZAS EN RETENCION MUCOSA.</t>
  </si>
  <si>
    <t>ELIMINACION DE HIPERPLASIAS.</t>
  </si>
  <si>
    <t>FRENECTOMIA.</t>
  </si>
  <si>
    <t>EXTRACCION POR ALVEOLECTOMIA EXTERNA</t>
  </si>
  <si>
    <t>$4484.06</t>
  </si>
  <si>
    <t>APICECTOMIA CON OBTURACION RETROGRADA Y/O ENUCLEACION DE QUISTE.</t>
  </si>
  <si>
    <t>01.01</t>
  </si>
  <si>
    <t>01.04</t>
  </si>
  <si>
    <t>01.05</t>
  </si>
  <si>
    <t>01.06</t>
  </si>
  <si>
    <t>01.08</t>
  </si>
  <si>
    <t>01.09</t>
  </si>
  <si>
    <t>01.11</t>
  </si>
  <si>
    <t>02.09</t>
  </si>
  <si>
    <t>02.22</t>
  </si>
  <si>
    <t>03.01</t>
  </si>
  <si>
    <t>03.02</t>
  </si>
  <si>
    <t>03.03</t>
  </si>
  <si>
    <t>03.05</t>
  </si>
  <si>
    <t>03.07</t>
  </si>
  <si>
    <t>03.06</t>
  </si>
  <si>
    <t>05.04</t>
  </si>
  <si>
    <t>05.04.01</t>
  </si>
  <si>
    <t>05.05</t>
  </si>
  <si>
    <t>05.06</t>
  </si>
  <si>
    <t>07.01</t>
  </si>
  <si>
    <t>07.04</t>
  </si>
  <si>
    <t>07.06.01</t>
  </si>
  <si>
    <t>08.01</t>
  </si>
  <si>
    <t>08.02</t>
  </si>
  <si>
    <t>08.03</t>
  </si>
  <si>
    <t>08.04</t>
  </si>
  <si>
    <t>08.04.01</t>
  </si>
  <si>
    <t>08.05</t>
  </si>
  <si>
    <t>09.01.01</t>
  </si>
  <si>
    <t>09.01.02</t>
  </si>
  <si>
    <t>09.01.03</t>
  </si>
  <si>
    <t>09.01.04</t>
  </si>
  <si>
    <t>09.01.05</t>
  </si>
  <si>
    <t>10.01</t>
  </si>
  <si>
    <t>10.02</t>
  </si>
  <si>
    <t>10.03</t>
  </si>
  <si>
    <t>10.04</t>
  </si>
  <si>
    <t>10.06</t>
  </si>
  <si>
    <t>10.08</t>
  </si>
  <si>
    <t>10.09</t>
  </si>
  <si>
    <t>10.15</t>
  </si>
  <si>
    <t>10.16</t>
  </si>
  <si>
    <t>10.17</t>
  </si>
  <si>
    <t>10.18</t>
  </si>
  <si>
    <t>10.19</t>
  </si>
  <si>
    <t>10.20</t>
  </si>
  <si>
    <t>10.21</t>
  </si>
  <si>
    <t>COD</t>
  </si>
  <si>
    <t xml:space="preserve">DESCRIPCION </t>
  </si>
  <si>
    <t>ARANCEL</t>
  </si>
  <si>
    <t>$2619.03</t>
  </si>
  <si>
    <t>$3158.87</t>
  </si>
  <si>
    <t>$961.01</t>
  </si>
  <si>
    <t>$1084.19</t>
  </si>
  <si>
    <t>$4243.08</t>
  </si>
  <si>
    <t>$1334.05</t>
  </si>
  <si>
    <t>$2195.20</t>
  </si>
  <si>
    <t>$6630.12</t>
  </si>
  <si>
    <t>$2307.93</t>
  </si>
  <si>
    <t>$2021.12</t>
  </si>
  <si>
    <t>$2190.67</t>
  </si>
  <si>
    <t>$2663.62</t>
  </si>
  <si>
    <t>$2989.39</t>
  </si>
  <si>
    <t>$3129.71</t>
  </si>
  <si>
    <t>$3076.02</t>
  </si>
  <si>
    <t>$2285.17</t>
  </si>
  <si>
    <t>$2503.00</t>
  </si>
  <si>
    <t>$3315.05</t>
  </si>
  <si>
    <t>$2074.75</t>
  </si>
  <si>
    <t>$3273.49</t>
  </si>
  <si>
    <t>$2797.49</t>
  </si>
  <si>
    <t>$1119.85</t>
  </si>
  <si>
    <t>$861.12</t>
  </si>
  <si>
    <t>$2967.05</t>
  </si>
  <si>
    <t xml:space="preserve">OSDE   PLAN 2- 410 -450-510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</si>
</sst>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workbookViewId="0">
      <selection activeCell="E3" sqref="E3"/>
    </sheetView>
  </sheetViews>
  <sheetFormatPr baseColWidth="10" defaultRowHeight="14.4" x14ac:dyDescent="0.3"/>
  <cols>
    <col min="1" max="1" width="11.44140625" style="4"/>
    <col min="2" max="2" width="71.5546875" customWidth="1"/>
    <col min="3" max="3" width="11.44140625" style="1"/>
  </cols>
  <sheetData>
    <row r="1" spans="1:5" x14ac:dyDescent="0.3">
      <c r="A1" s="3"/>
      <c r="B1" s="2" t="s">
        <v>136</v>
      </c>
      <c r="C1" s="2"/>
    </row>
    <row r="2" spans="1:5" x14ac:dyDescent="0.3">
      <c r="A2" s="3" t="s">
        <v>109</v>
      </c>
      <c r="B2" s="2" t="s">
        <v>110</v>
      </c>
      <c r="C2" s="2" t="s">
        <v>111</v>
      </c>
    </row>
    <row r="3" spans="1:5" x14ac:dyDescent="0.3">
      <c r="A3" s="4" t="s">
        <v>62</v>
      </c>
      <c r="B3" t="s">
        <v>0</v>
      </c>
      <c r="C3" s="1" t="s">
        <v>120</v>
      </c>
      <c r="D3">
        <f>VALUE(C3)</f>
        <v>2307.9299999999998</v>
      </c>
      <c r="E3">
        <v>2307.9299999999998</v>
      </c>
    </row>
    <row r="4" spans="1:5" x14ac:dyDescent="0.3">
      <c r="A4" s="4" t="s">
        <v>63</v>
      </c>
      <c r="B4" t="s">
        <v>1</v>
      </c>
      <c r="C4" s="1" t="s">
        <v>121</v>
      </c>
      <c r="D4">
        <f t="shared" ref="D4:E49" si="0">VALUE(C4)</f>
        <v>2021.12</v>
      </c>
      <c r="E4">
        <v>2021.12</v>
      </c>
    </row>
    <row r="5" spans="1:5" x14ac:dyDescent="0.3">
      <c r="A5" s="4" t="s">
        <v>64</v>
      </c>
      <c r="B5" t="s">
        <v>2</v>
      </c>
      <c r="C5" s="1" t="s">
        <v>121</v>
      </c>
      <c r="D5">
        <f t="shared" si="0"/>
        <v>2021.12</v>
      </c>
      <c r="E5">
        <v>2021.12</v>
      </c>
    </row>
    <row r="6" spans="1:5" x14ac:dyDescent="0.3">
      <c r="A6" s="4" t="s">
        <v>65</v>
      </c>
      <c r="B6" t="s">
        <v>3</v>
      </c>
      <c r="C6" s="1" t="s">
        <v>121</v>
      </c>
      <c r="D6">
        <f t="shared" si="0"/>
        <v>2021.12</v>
      </c>
      <c r="E6">
        <v>2021.12</v>
      </c>
    </row>
    <row r="7" spans="1:5" x14ac:dyDescent="0.3">
      <c r="A7" s="4" t="s">
        <v>66</v>
      </c>
      <c r="B7" t="s">
        <v>4</v>
      </c>
      <c r="C7" s="1" t="s">
        <v>122</v>
      </c>
      <c r="D7">
        <f t="shared" si="0"/>
        <v>2190.67</v>
      </c>
      <c r="E7">
        <v>2190.67</v>
      </c>
    </row>
    <row r="8" spans="1:5" x14ac:dyDescent="0.3">
      <c r="A8" s="4" t="s">
        <v>67</v>
      </c>
      <c r="B8" t="s">
        <v>5</v>
      </c>
      <c r="C8" s="1" t="s">
        <v>121</v>
      </c>
      <c r="D8">
        <f t="shared" si="0"/>
        <v>2021.12</v>
      </c>
      <c r="E8">
        <v>2021.12</v>
      </c>
    </row>
    <row r="9" spans="1:5" x14ac:dyDescent="0.3">
      <c r="A9" s="4" t="s">
        <v>68</v>
      </c>
      <c r="B9" t="s">
        <v>6</v>
      </c>
      <c r="C9" s="1" t="s">
        <v>121</v>
      </c>
      <c r="D9">
        <f t="shared" si="0"/>
        <v>2021.12</v>
      </c>
      <c r="E9">
        <v>2021.12</v>
      </c>
    </row>
    <row r="10" spans="1:5" x14ac:dyDescent="0.3">
      <c r="A10" s="4" t="s">
        <v>69</v>
      </c>
      <c r="B10" t="s">
        <v>7</v>
      </c>
      <c r="C10" s="1" t="s">
        <v>8</v>
      </c>
      <c r="D10">
        <f t="shared" si="0"/>
        <v>6481.2</v>
      </c>
      <c r="E10">
        <v>6481.2</v>
      </c>
    </row>
    <row r="11" spans="1:5" x14ac:dyDescent="0.3">
      <c r="A11" s="4" t="s">
        <v>70</v>
      </c>
      <c r="B11" t="s">
        <v>9</v>
      </c>
      <c r="C11" s="1" t="s">
        <v>8</v>
      </c>
      <c r="D11">
        <f t="shared" si="0"/>
        <v>6481.2</v>
      </c>
      <c r="E11">
        <v>6481.2</v>
      </c>
    </row>
    <row r="12" spans="1:5" x14ac:dyDescent="0.3">
      <c r="A12" s="4" t="s">
        <v>71</v>
      </c>
      <c r="B12" t="s">
        <v>10</v>
      </c>
      <c r="C12" s="1" t="s">
        <v>11</v>
      </c>
      <c r="D12">
        <f t="shared" si="0"/>
        <v>11400</v>
      </c>
      <c r="E12">
        <v>11400</v>
      </c>
    </row>
    <row r="13" spans="1:5" x14ac:dyDescent="0.3">
      <c r="A13" s="4" t="s">
        <v>72</v>
      </c>
      <c r="B13" t="s">
        <v>12</v>
      </c>
      <c r="C13" s="1" t="s">
        <v>13</v>
      </c>
      <c r="D13">
        <f t="shared" si="0"/>
        <v>15200</v>
      </c>
      <c r="E13">
        <v>15200</v>
      </c>
    </row>
    <row r="14" spans="1:5" x14ac:dyDescent="0.3">
      <c r="A14" s="4" t="s">
        <v>73</v>
      </c>
      <c r="B14" t="s">
        <v>14</v>
      </c>
      <c r="C14" s="1" t="s">
        <v>123</v>
      </c>
      <c r="D14">
        <f t="shared" si="0"/>
        <v>2663.62</v>
      </c>
      <c r="E14">
        <v>2663.62</v>
      </c>
    </row>
    <row r="15" spans="1:5" x14ac:dyDescent="0.3">
      <c r="A15" s="4" t="s">
        <v>74</v>
      </c>
      <c r="B15" t="s">
        <v>15</v>
      </c>
      <c r="C15" s="1" t="s">
        <v>124</v>
      </c>
      <c r="D15">
        <f t="shared" si="0"/>
        <v>2989.39</v>
      </c>
      <c r="E15">
        <v>2989.39</v>
      </c>
    </row>
    <row r="16" spans="1:5" x14ac:dyDescent="0.3">
      <c r="A16" s="4" t="s">
        <v>76</v>
      </c>
      <c r="B16" t="s">
        <v>17</v>
      </c>
      <c r="C16" s="1" t="s">
        <v>123</v>
      </c>
      <c r="D16">
        <f t="shared" si="0"/>
        <v>2663.62</v>
      </c>
      <c r="E16">
        <v>2663.62</v>
      </c>
    </row>
    <row r="17" spans="1:5" x14ac:dyDescent="0.3">
      <c r="A17" s="4" t="s">
        <v>75</v>
      </c>
      <c r="B17" t="s">
        <v>18</v>
      </c>
      <c r="C17" s="1" t="s">
        <v>124</v>
      </c>
      <c r="D17">
        <f t="shared" si="0"/>
        <v>2989.39</v>
      </c>
      <c r="E17">
        <v>2989.39</v>
      </c>
    </row>
    <row r="18" spans="1:5" x14ac:dyDescent="0.3">
      <c r="A18" s="4" t="s">
        <v>77</v>
      </c>
      <c r="B18" t="s">
        <v>19</v>
      </c>
      <c r="C18" s="1" t="s">
        <v>125</v>
      </c>
      <c r="D18">
        <f t="shared" si="0"/>
        <v>3129.71</v>
      </c>
      <c r="E18">
        <v>3129.71</v>
      </c>
    </row>
    <row r="19" spans="1:5" x14ac:dyDescent="0.3">
      <c r="A19" s="4" t="s">
        <v>78</v>
      </c>
      <c r="B19" t="s">
        <v>20</v>
      </c>
      <c r="C19" s="1" t="s">
        <v>125</v>
      </c>
      <c r="D19">
        <f t="shared" si="0"/>
        <v>3129.71</v>
      </c>
      <c r="E19">
        <v>3129.71</v>
      </c>
    </row>
    <row r="20" spans="1:5" x14ac:dyDescent="0.3">
      <c r="A20" s="4" t="s">
        <v>79</v>
      </c>
      <c r="B20" t="s">
        <v>21</v>
      </c>
      <c r="C20" s="1" t="s">
        <v>126</v>
      </c>
      <c r="D20">
        <f t="shared" si="0"/>
        <v>3076.02</v>
      </c>
      <c r="E20">
        <v>3076.02</v>
      </c>
    </row>
    <row r="21" spans="1:5" x14ac:dyDescent="0.3">
      <c r="A21" s="4" t="s">
        <v>80</v>
      </c>
      <c r="B21" t="s">
        <v>22</v>
      </c>
      <c r="C21" s="1" t="s">
        <v>50</v>
      </c>
      <c r="D21">
        <f t="shared" si="0"/>
        <v>1200.25</v>
      </c>
      <c r="E21">
        <v>1200.25</v>
      </c>
    </row>
    <row r="22" spans="1:5" x14ac:dyDescent="0.3">
      <c r="A22" s="4" t="s">
        <v>81</v>
      </c>
      <c r="B22" t="s">
        <v>23</v>
      </c>
      <c r="C22" s="1" t="s">
        <v>127</v>
      </c>
      <c r="D22">
        <f t="shared" si="0"/>
        <v>2285.17</v>
      </c>
      <c r="E22">
        <v>2285.17</v>
      </c>
    </row>
    <row r="23" spans="1:5" x14ac:dyDescent="0.3">
      <c r="A23" s="4" t="s">
        <v>82</v>
      </c>
      <c r="B23" t="s">
        <v>24</v>
      </c>
      <c r="C23" s="1" t="s">
        <v>128</v>
      </c>
      <c r="D23">
        <f t="shared" si="0"/>
        <v>2503</v>
      </c>
      <c r="E23">
        <v>2503</v>
      </c>
    </row>
    <row r="24" spans="1:5" x14ac:dyDescent="0.3">
      <c r="A24" s="4" t="s">
        <v>83</v>
      </c>
      <c r="B24" t="s">
        <v>25</v>
      </c>
      <c r="C24" s="1" t="s">
        <v>129</v>
      </c>
      <c r="D24">
        <f t="shared" si="0"/>
        <v>3315.05</v>
      </c>
      <c r="E24">
        <v>3315.05</v>
      </c>
    </row>
    <row r="25" spans="1:5" x14ac:dyDescent="0.3">
      <c r="A25" s="4" t="s">
        <v>84</v>
      </c>
      <c r="B25" t="s">
        <v>26</v>
      </c>
      <c r="C25" s="1" t="s">
        <v>130</v>
      </c>
      <c r="D25">
        <f t="shared" si="0"/>
        <v>2074.75</v>
      </c>
      <c r="E25">
        <v>2074.75</v>
      </c>
    </row>
    <row r="26" spans="1:5" x14ac:dyDescent="0.3">
      <c r="A26" s="4" t="s">
        <v>85</v>
      </c>
      <c r="B26" t="s">
        <v>27</v>
      </c>
      <c r="C26" s="1" t="s">
        <v>131</v>
      </c>
      <c r="D26">
        <f t="shared" si="0"/>
        <v>3273.49</v>
      </c>
      <c r="E26">
        <v>3273.49</v>
      </c>
    </row>
    <row r="27" spans="1:5" x14ac:dyDescent="0.3">
      <c r="A27" s="4" t="s">
        <v>86</v>
      </c>
      <c r="B27" t="s">
        <v>28</v>
      </c>
      <c r="C27" s="1" t="s">
        <v>29</v>
      </c>
      <c r="D27">
        <f t="shared" si="0"/>
        <v>2471.77</v>
      </c>
      <c r="E27">
        <v>2471.77</v>
      </c>
    </row>
    <row r="28" spans="1:5" x14ac:dyDescent="0.3">
      <c r="A28" s="4" t="s">
        <v>87</v>
      </c>
      <c r="B28" t="s">
        <v>30</v>
      </c>
      <c r="C28" s="1" t="s">
        <v>29</v>
      </c>
      <c r="D28">
        <f t="shared" si="0"/>
        <v>2471.77</v>
      </c>
      <c r="E28">
        <v>2471.77</v>
      </c>
    </row>
    <row r="29" spans="1:5" x14ac:dyDescent="0.3">
      <c r="A29" s="4" t="s">
        <v>88</v>
      </c>
      <c r="B29" t="s">
        <v>32</v>
      </c>
      <c r="C29" s="1" t="s">
        <v>29</v>
      </c>
      <c r="D29">
        <f t="shared" si="0"/>
        <v>2471.77</v>
      </c>
      <c r="E29">
        <v>2471.77</v>
      </c>
    </row>
    <row r="30" spans="1:5" x14ac:dyDescent="0.3">
      <c r="A30" s="4" t="s">
        <v>89</v>
      </c>
      <c r="B30" t="s">
        <v>34</v>
      </c>
      <c r="C30" s="1" t="s">
        <v>132</v>
      </c>
      <c r="D30">
        <f t="shared" si="0"/>
        <v>2797.49</v>
      </c>
      <c r="E30">
        <v>2797.49</v>
      </c>
    </row>
    <row r="31" spans="1:5" x14ac:dyDescent="0.3">
      <c r="A31" s="4" t="s">
        <v>90</v>
      </c>
      <c r="B31" t="s">
        <v>35</v>
      </c>
      <c r="C31" s="1" t="s">
        <v>132</v>
      </c>
      <c r="D31">
        <f t="shared" si="0"/>
        <v>2797.49</v>
      </c>
      <c r="E31">
        <v>2797.49</v>
      </c>
    </row>
    <row r="32" spans="1:5" x14ac:dyDescent="0.3">
      <c r="A32" s="4" t="s">
        <v>91</v>
      </c>
      <c r="B32" t="s">
        <v>36</v>
      </c>
      <c r="C32" s="1" t="s">
        <v>31</v>
      </c>
      <c r="D32">
        <f t="shared" si="0"/>
        <v>3007.18</v>
      </c>
      <c r="E32">
        <v>3007.18</v>
      </c>
    </row>
    <row r="33" spans="1:5" x14ac:dyDescent="0.3">
      <c r="A33" s="4" t="s">
        <v>92</v>
      </c>
      <c r="B33" t="s">
        <v>37</v>
      </c>
      <c r="C33" s="1" t="s">
        <v>31</v>
      </c>
      <c r="D33">
        <f t="shared" si="0"/>
        <v>3007.18</v>
      </c>
      <c r="E33">
        <v>3007.18</v>
      </c>
    </row>
    <row r="34" spans="1:5" x14ac:dyDescent="0.3">
      <c r="A34" s="4" t="s">
        <v>93</v>
      </c>
      <c r="B34" t="s">
        <v>38</v>
      </c>
      <c r="C34" s="1" t="s">
        <v>31</v>
      </c>
      <c r="D34">
        <f t="shared" si="0"/>
        <v>3007.18</v>
      </c>
      <c r="E34">
        <v>3007.18</v>
      </c>
    </row>
    <row r="35" spans="1:5" x14ac:dyDescent="0.3">
      <c r="A35" s="4" t="s">
        <v>94</v>
      </c>
      <c r="B35" t="s">
        <v>40</v>
      </c>
      <c r="C35" s="1" t="s">
        <v>31</v>
      </c>
      <c r="D35">
        <f t="shared" si="0"/>
        <v>3007.18</v>
      </c>
      <c r="E35">
        <v>3007.18</v>
      </c>
    </row>
    <row r="36" spans="1:5" x14ac:dyDescent="0.3">
      <c r="A36" s="4" t="s">
        <v>95</v>
      </c>
      <c r="B36" t="s">
        <v>41</v>
      </c>
      <c r="C36" s="1" t="s">
        <v>31</v>
      </c>
      <c r="D36">
        <f t="shared" si="0"/>
        <v>3007.18</v>
      </c>
      <c r="E36">
        <v>3007.18</v>
      </c>
    </row>
    <row r="37" spans="1:5" x14ac:dyDescent="0.3">
      <c r="A37" s="4" t="s">
        <v>96</v>
      </c>
      <c r="B37" t="s">
        <v>43</v>
      </c>
      <c r="C37" s="1" t="s">
        <v>31</v>
      </c>
      <c r="D37">
        <f t="shared" si="0"/>
        <v>3007.18</v>
      </c>
      <c r="E37">
        <v>3007.18</v>
      </c>
    </row>
    <row r="38" spans="1:5" x14ac:dyDescent="0.3">
      <c r="A38" s="4" t="s">
        <v>97</v>
      </c>
      <c r="B38" t="s">
        <v>44</v>
      </c>
      <c r="C38" s="1" t="s">
        <v>33</v>
      </c>
      <c r="D38">
        <f t="shared" si="0"/>
        <v>3199.06</v>
      </c>
      <c r="E38">
        <v>3199.06</v>
      </c>
    </row>
    <row r="39" spans="1:5" x14ac:dyDescent="0.3">
      <c r="A39" s="4" t="s">
        <v>98</v>
      </c>
      <c r="B39" t="s">
        <v>46</v>
      </c>
      <c r="C39" s="1" t="s">
        <v>33</v>
      </c>
      <c r="D39">
        <f t="shared" si="0"/>
        <v>3199.06</v>
      </c>
      <c r="E39">
        <v>3199.06</v>
      </c>
    </row>
    <row r="40" spans="1:5" x14ac:dyDescent="0.3">
      <c r="A40" s="4" t="s">
        <v>99</v>
      </c>
      <c r="B40" t="s">
        <v>47</v>
      </c>
      <c r="C40" s="1" t="s">
        <v>33</v>
      </c>
      <c r="D40">
        <f t="shared" si="0"/>
        <v>3199.06</v>
      </c>
      <c r="E40">
        <v>3199.06</v>
      </c>
    </row>
    <row r="41" spans="1:5" x14ac:dyDescent="0.3">
      <c r="A41" s="4" t="s">
        <v>100</v>
      </c>
      <c r="B41" t="s">
        <v>49</v>
      </c>
      <c r="C41" s="1" t="s">
        <v>133</v>
      </c>
      <c r="D41">
        <f t="shared" si="0"/>
        <v>1119.8499999999999</v>
      </c>
      <c r="E41">
        <v>1119.8499999999999</v>
      </c>
    </row>
    <row r="42" spans="1:5" x14ac:dyDescent="0.3">
      <c r="A42" s="4" t="s">
        <v>101</v>
      </c>
      <c r="B42" t="s">
        <v>51</v>
      </c>
      <c r="C42" s="1" t="s">
        <v>114</v>
      </c>
      <c r="D42">
        <f t="shared" si="0"/>
        <v>961.01</v>
      </c>
      <c r="E42">
        <v>961.01</v>
      </c>
    </row>
    <row r="43" spans="1:5" x14ac:dyDescent="0.3">
      <c r="A43" s="4" t="s">
        <v>102</v>
      </c>
      <c r="B43" t="s">
        <v>53</v>
      </c>
      <c r="C43" s="1" t="s">
        <v>134</v>
      </c>
      <c r="D43">
        <f t="shared" si="0"/>
        <v>861.12</v>
      </c>
      <c r="E43">
        <v>861.12</v>
      </c>
    </row>
    <row r="44" spans="1:5" x14ac:dyDescent="0.3">
      <c r="A44" s="4" t="s">
        <v>103</v>
      </c>
      <c r="B44" t="s">
        <v>55</v>
      </c>
      <c r="C44" s="1" t="s">
        <v>115</v>
      </c>
      <c r="D44">
        <f t="shared" si="0"/>
        <v>1084.19</v>
      </c>
      <c r="E44">
        <v>1084.19</v>
      </c>
    </row>
    <row r="45" spans="1:5" x14ac:dyDescent="0.3">
      <c r="A45" s="4" t="s">
        <v>104</v>
      </c>
      <c r="B45" t="s">
        <v>56</v>
      </c>
      <c r="C45" s="1" t="s">
        <v>112</v>
      </c>
      <c r="D45">
        <f t="shared" si="0"/>
        <v>2619.0300000000002</v>
      </c>
      <c r="E45">
        <v>2619.0300000000002</v>
      </c>
    </row>
    <row r="46" spans="1:5" x14ac:dyDescent="0.3">
      <c r="A46" s="4" t="s">
        <v>105</v>
      </c>
      <c r="B46" t="s">
        <v>57</v>
      </c>
      <c r="C46" s="1" t="s">
        <v>116</v>
      </c>
      <c r="D46">
        <f t="shared" si="0"/>
        <v>4243.08</v>
      </c>
      <c r="E46">
        <v>4243.08</v>
      </c>
    </row>
    <row r="47" spans="1:5" x14ac:dyDescent="0.3">
      <c r="A47" s="4" t="s">
        <v>106</v>
      </c>
      <c r="B47" t="s">
        <v>58</v>
      </c>
      <c r="C47" s="1" t="s">
        <v>42</v>
      </c>
      <c r="D47">
        <f t="shared" si="0"/>
        <v>4989.58</v>
      </c>
      <c r="E47">
        <v>4989.58</v>
      </c>
    </row>
    <row r="48" spans="1:5" x14ac:dyDescent="0.3">
      <c r="A48" s="4" t="s">
        <v>107</v>
      </c>
      <c r="B48" t="s">
        <v>59</v>
      </c>
      <c r="C48" s="1" t="s">
        <v>135</v>
      </c>
      <c r="D48">
        <f t="shared" si="0"/>
        <v>2967.05</v>
      </c>
      <c r="E48">
        <v>2967.05</v>
      </c>
    </row>
    <row r="49" spans="1:5" x14ac:dyDescent="0.3">
      <c r="A49" s="4" t="s">
        <v>108</v>
      </c>
      <c r="B49" t="s">
        <v>61</v>
      </c>
      <c r="C49" s="1" t="s">
        <v>45</v>
      </c>
      <c r="D49">
        <f t="shared" si="0"/>
        <v>2819.84</v>
      </c>
      <c r="E49">
        <v>2819.84</v>
      </c>
    </row>
    <row r="50" spans="1:5" x14ac:dyDescent="0.3">
      <c r="C50" s="1" t="s">
        <v>16</v>
      </c>
    </row>
    <row r="51" spans="1:5" x14ac:dyDescent="0.3">
      <c r="C51" s="1" t="s">
        <v>48</v>
      </c>
    </row>
    <row r="52" spans="1:5" x14ac:dyDescent="0.3">
      <c r="C52" s="1" t="s">
        <v>117</v>
      </c>
    </row>
    <row r="53" spans="1:5" x14ac:dyDescent="0.3">
      <c r="C53" s="1" t="s">
        <v>52</v>
      </c>
    </row>
    <row r="54" spans="1:5" x14ac:dyDescent="0.3">
      <c r="C54" s="1" t="s">
        <v>54</v>
      </c>
    </row>
    <row r="55" spans="1:5" x14ac:dyDescent="0.3">
      <c r="C55" s="1" t="s">
        <v>113</v>
      </c>
    </row>
    <row r="56" spans="1:5" x14ac:dyDescent="0.3">
      <c r="C56" s="1" t="s">
        <v>118</v>
      </c>
    </row>
    <row r="57" spans="1:5" x14ac:dyDescent="0.3">
      <c r="C57" s="1" t="s">
        <v>118</v>
      </c>
    </row>
    <row r="58" spans="1:5" x14ac:dyDescent="0.3">
      <c r="C58" s="1" t="s">
        <v>39</v>
      </c>
    </row>
    <row r="59" spans="1:5" x14ac:dyDescent="0.3">
      <c r="C59" s="1" t="s">
        <v>60</v>
      </c>
    </row>
    <row r="60" spans="1:5" x14ac:dyDescent="0.3">
      <c r="C60" s="1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2023-09-08T13:30:29Z</dcterms:created>
  <dcterms:modified xsi:type="dcterms:W3CDTF">2023-09-08T18:27:08Z</dcterms:modified>
</cp:coreProperties>
</file>